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ynn Pflüger\OneDrive\Volleyball\TSG on Fire\Statistik\"/>
    </mc:Choice>
  </mc:AlternateContent>
  <xr:revisionPtr revIDLastSave="0" documentId="8_{E34531DD-DB16-4628-89AD-E4F6A1581721}" xr6:coauthVersionLast="47" xr6:coauthVersionMax="47" xr10:uidLastSave="{00000000-0000-0000-0000-000000000000}"/>
  <bookViews>
    <workbookView xWindow="-110" yWindow="-110" windowWidth="19420" windowHeight="10300" xr2:uid="{A2671FF6-DDCE-44F7-9EEF-8DE0699F7FBE}"/>
  </bookViews>
  <sheets>
    <sheet name="Vorl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1" i="1" l="1"/>
  <c r="AB21" i="1"/>
  <c r="AD21" i="1" s="1" a="1"/>
  <c r="AD21" i="1" s="1"/>
  <c r="AN6" i="1" s="1"/>
  <c r="Z21" i="1"/>
  <c r="Y21" i="1"/>
  <c r="AA21" i="1" s="1" a="1"/>
  <c r="AA21" i="1" s="1"/>
  <c r="AN9" i="1" s="1"/>
  <c r="W21" i="1"/>
  <c r="V21" i="1"/>
  <c r="U21" i="1"/>
  <c r="T21" i="1"/>
  <c r="X21" i="1" s="1" a="1"/>
  <c r="X21" i="1" s="1"/>
  <c r="AN11" i="1" s="1"/>
  <c r="Q21" i="1"/>
  <c r="P21" i="1"/>
  <c r="O21" i="1"/>
  <c r="N21" i="1"/>
  <c r="K21" i="1"/>
  <c r="J21" i="1"/>
  <c r="I21" i="1"/>
  <c r="H21" i="1"/>
  <c r="E21" i="1"/>
  <c r="AJ21" i="1" s="1"/>
  <c r="D21" i="1"/>
  <c r="C21" i="1"/>
  <c r="B21" i="1"/>
  <c r="G21" i="1" s="1"/>
  <c r="AN10" i="1" s="1"/>
  <c r="AJ20" i="1"/>
  <c r="AI20" i="1"/>
  <c r="AH20" i="1"/>
  <c r="AG20" i="1"/>
  <c r="AF20" i="1"/>
  <c r="AD20" i="1"/>
  <c r="AA20" i="1"/>
  <c r="X20" i="1"/>
  <c r="S20" i="1"/>
  <c r="R20" i="1"/>
  <c r="M20" i="1"/>
  <c r="L20" i="1"/>
  <c r="G20" i="1"/>
  <c r="F20" i="1"/>
  <c r="AJ19" i="1"/>
  <c r="AI19" i="1"/>
  <c r="AH19" i="1"/>
  <c r="AG19" i="1"/>
  <c r="AF19" i="1"/>
  <c r="AD19" i="1"/>
  <c r="AA19" i="1"/>
  <c r="X19" i="1"/>
  <c r="S19" i="1"/>
  <c r="M19" i="1"/>
  <c r="G19" i="1"/>
  <c r="AJ18" i="1"/>
  <c r="AI18" i="1"/>
  <c r="AH18" i="1"/>
  <c r="AG18" i="1"/>
  <c r="AF18" i="1"/>
  <c r="AD18" i="1"/>
  <c r="AA18" i="1"/>
  <c r="X18" i="1"/>
  <c r="S18" i="1"/>
  <c r="R18" i="1"/>
  <c r="M18" i="1"/>
  <c r="L18" i="1"/>
  <c r="G18" i="1"/>
  <c r="F18" i="1"/>
  <c r="AJ17" i="1"/>
  <c r="AI17" i="1"/>
  <c r="AH17" i="1"/>
  <c r="AG17" i="1"/>
  <c r="AF17" i="1"/>
  <c r="AD17" i="1"/>
  <c r="AA17" i="1"/>
  <c r="X17" i="1"/>
  <c r="S17" i="1"/>
  <c r="R17" i="1"/>
  <c r="M17" i="1"/>
  <c r="L17" i="1"/>
  <c r="G17" i="1"/>
  <c r="F17" i="1"/>
  <c r="AJ16" i="1"/>
  <c r="AI16" i="1"/>
  <c r="AH16" i="1"/>
  <c r="AG16" i="1"/>
  <c r="AF16" i="1"/>
  <c r="AD16" i="1"/>
  <c r="AA16" i="1"/>
  <c r="X16" i="1"/>
  <c r="S16" i="1"/>
  <c r="R16" i="1"/>
  <c r="M16" i="1"/>
  <c r="L16" i="1"/>
  <c r="G16" i="1"/>
  <c r="F16" i="1"/>
  <c r="AJ15" i="1"/>
  <c r="AI15" i="1"/>
  <c r="AH15" i="1"/>
  <c r="AG15" i="1"/>
  <c r="AF15" i="1"/>
  <c r="AD15" i="1"/>
  <c r="AA15" i="1"/>
  <c r="X15" i="1"/>
  <c r="S15" i="1"/>
  <c r="R15" i="1"/>
  <c r="M15" i="1"/>
  <c r="L15" i="1"/>
  <c r="G15" i="1"/>
  <c r="F15" i="1"/>
  <c r="AJ14" i="1"/>
  <c r="AI14" i="1"/>
  <c r="AH14" i="1"/>
  <c r="AG14" i="1"/>
  <c r="AF14" i="1"/>
  <c r="AD14" i="1"/>
  <c r="AA14" i="1"/>
  <c r="X14" i="1"/>
  <c r="S14" i="1"/>
  <c r="R14" i="1"/>
  <c r="M14" i="1"/>
  <c r="L14" i="1"/>
  <c r="G14" i="1"/>
  <c r="F14" i="1"/>
  <c r="AJ13" i="1"/>
  <c r="AI13" i="1"/>
  <c r="AH13" i="1"/>
  <c r="AG13" i="1"/>
  <c r="AF13" i="1"/>
  <c r="AD13" i="1"/>
  <c r="AA13" i="1"/>
  <c r="X13" i="1"/>
  <c r="S13" i="1"/>
  <c r="R13" i="1"/>
  <c r="M13" i="1"/>
  <c r="L13" i="1"/>
  <c r="G13" i="1"/>
  <c r="F13" i="1"/>
  <c r="AJ12" i="1"/>
  <c r="AI12" i="1"/>
  <c r="AH12" i="1"/>
  <c r="AG12" i="1"/>
  <c r="AF12" i="1"/>
  <c r="AD12" i="1"/>
  <c r="AA12" i="1"/>
  <c r="X12" i="1"/>
  <c r="S12" i="1"/>
  <c r="R12" i="1"/>
  <c r="M12" i="1"/>
  <c r="L12" i="1"/>
  <c r="G12" i="1"/>
  <c r="F12" i="1"/>
  <c r="AJ11" i="1"/>
  <c r="AI11" i="1"/>
  <c r="AH11" i="1"/>
  <c r="AG11" i="1"/>
  <c r="AF11" i="1"/>
  <c r="AD11" i="1"/>
  <c r="AA11" i="1"/>
  <c r="X11" i="1"/>
  <c r="S11" i="1"/>
  <c r="R11" i="1"/>
  <c r="M11" i="1"/>
  <c r="L11" i="1"/>
  <c r="G11" i="1"/>
  <c r="F11" i="1"/>
  <c r="AJ10" i="1"/>
  <c r="AI10" i="1"/>
  <c r="AH10" i="1"/>
  <c r="AG10" i="1"/>
  <c r="AF10" i="1"/>
  <c r="AD10" i="1"/>
  <c r="AA10" i="1"/>
  <c r="X10" i="1"/>
  <c r="S10" i="1"/>
  <c r="R10" i="1"/>
  <c r="M10" i="1"/>
  <c r="L10" i="1"/>
  <c r="G10" i="1"/>
  <c r="F10" i="1"/>
  <c r="AJ9" i="1"/>
  <c r="AI9" i="1"/>
  <c r="AH9" i="1"/>
  <c r="AG9" i="1"/>
  <c r="AF9" i="1"/>
  <c r="AD9" i="1"/>
  <c r="AA9" i="1"/>
  <c r="X9" i="1"/>
  <c r="S9" i="1"/>
  <c r="R9" i="1"/>
  <c r="M9" i="1"/>
  <c r="L9" i="1"/>
  <c r="G9" i="1"/>
  <c r="F9" i="1"/>
  <c r="AJ8" i="1"/>
  <c r="AI8" i="1"/>
  <c r="AH8" i="1"/>
  <c r="AG8" i="1"/>
  <c r="AF8" i="1"/>
  <c r="AD8" i="1"/>
  <c r="AA8" i="1"/>
  <c r="X8" i="1"/>
  <c r="S8" i="1"/>
  <c r="R8" i="1"/>
  <c r="M8" i="1"/>
  <c r="L8" i="1"/>
  <c r="G8" i="1"/>
  <c r="F8" i="1"/>
  <c r="AJ7" i="1"/>
  <c r="AI7" i="1"/>
  <c r="AH7" i="1"/>
  <c r="AG7" i="1"/>
  <c r="AF7" i="1"/>
  <c r="AD7" i="1"/>
  <c r="AA7" i="1"/>
  <c r="X7" i="1"/>
  <c r="S7" i="1"/>
  <c r="R7" i="1"/>
  <c r="M7" i="1"/>
  <c r="L7" i="1"/>
  <c r="G7" i="1"/>
  <c r="F7" i="1"/>
  <c r="AJ6" i="1"/>
  <c r="AI6" i="1"/>
  <c r="AH6" i="1"/>
  <c r="AG6" i="1"/>
  <c r="AF6" i="1"/>
  <c r="AD6" i="1"/>
  <c r="AA6" i="1"/>
  <c r="X6" i="1"/>
  <c r="S6" i="1"/>
  <c r="R6" i="1"/>
  <c r="M6" i="1"/>
  <c r="L6" i="1"/>
  <c r="G6" i="1"/>
  <c r="F6" i="1"/>
  <c r="AJ5" i="1"/>
  <c r="AI5" i="1"/>
  <c r="AH5" i="1"/>
  <c r="AG5" i="1"/>
  <c r="AF5" i="1"/>
  <c r="AD5" i="1"/>
  <c r="AA5" i="1"/>
  <c r="X5" i="1"/>
  <c r="S5" i="1"/>
  <c r="R5" i="1"/>
  <c r="M5" i="1"/>
  <c r="L5" i="1"/>
  <c r="G5" i="1"/>
  <c r="F5" i="1"/>
  <c r="AJ4" i="1"/>
  <c r="AI4" i="1"/>
  <c r="AI21" i="1" s="1"/>
  <c r="AH4" i="1"/>
  <c r="AG4" i="1"/>
  <c r="AF4" i="1"/>
  <c r="AD4" i="1"/>
  <c r="AA4" i="1"/>
  <c r="X4" i="1"/>
  <c r="S4" i="1"/>
  <c r="R4" i="1"/>
  <c r="R21" i="1" s="1"/>
  <c r="M4" i="1"/>
  <c r="L4" i="1"/>
  <c r="L21" i="1" s="1"/>
  <c r="G4" i="1"/>
  <c r="F4" i="1"/>
  <c r="F21" i="1" s="1"/>
  <c r="AN13" i="1" s="1"/>
  <c r="AG21" i="1" l="1"/>
  <c r="S21" i="1" a="1"/>
  <c r="S21" i="1" s="1"/>
  <c r="AN8" i="1" s="1"/>
  <c r="AH21" i="1"/>
  <c r="M21" i="1" a="1"/>
  <c r="M21" i="1" s="1"/>
  <c r="AN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<sst xmlns="http://schemas.openxmlformats.org/spreadsheetml/2006/main" count="54" uniqueCount="38">
  <si>
    <t>Spiel: TSG Tübingen - Mads</t>
  </si>
  <si>
    <t>Aufschlag</t>
  </si>
  <si>
    <t>Annahme</t>
  </si>
  <si>
    <t>Angriff</t>
  </si>
  <si>
    <t>Block</t>
  </si>
  <si>
    <t>Feldabwehr</t>
  </si>
  <si>
    <t>Freeball</t>
  </si>
  <si>
    <t>Zusatzstatistiken</t>
  </si>
  <si>
    <t>Name</t>
  </si>
  <si>
    <t>Bälle</t>
  </si>
  <si>
    <t>Ges.</t>
  </si>
  <si>
    <t>Kill Ratio</t>
  </si>
  <si>
    <t>Punkte</t>
  </si>
  <si>
    <t>UE</t>
  </si>
  <si>
    <t>Stats MVP:  Moyan/ Kai</t>
  </si>
  <si>
    <t>Peter</t>
  </si>
  <si>
    <t>Elemente Ranking:</t>
  </si>
  <si>
    <t>Kai</t>
  </si>
  <si>
    <t>Rang</t>
  </si>
  <si>
    <t>Element</t>
  </si>
  <si>
    <t>Team 
Note</t>
  </si>
  <si>
    <t>Moyan</t>
  </si>
  <si>
    <t>Carl</t>
  </si>
  <si>
    <t>Henri</t>
  </si>
  <si>
    <t>Fynn</t>
  </si>
  <si>
    <t>Alex</t>
  </si>
  <si>
    <t>Felix</t>
  </si>
  <si>
    <t>Finn</t>
  </si>
  <si>
    <t>Till</t>
  </si>
  <si>
    <t>Average</t>
  </si>
  <si>
    <t>Raba</t>
  </si>
  <si>
    <t>Bennet</t>
  </si>
  <si>
    <t>Hannes</t>
  </si>
  <si>
    <t>Jonas</t>
  </si>
  <si>
    <t>Andi</t>
  </si>
  <si>
    <t>Ciupke</t>
  </si>
  <si>
    <t>Heppe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</si>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</sst>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5" fillId="0" borderId="0" xfId="0" applyFont="1"/>
    <xf numFmtId="0" fontId="4" fillId="4" borderId="17" xfId="0" applyFont="1" applyFill="1" applyBorder="1" applyAlignment="1">
      <alignment horizontal="center" vertical="center"/>
    </xf>
    <xf numFmtId="1" fontId="6" fillId="0" borderId="18" xfId="0" applyNumberFormat="1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1" fontId="6" fillId="3" borderId="19" xfId="1" applyNumberFormat="1" applyFont="1" applyFill="1" applyBorder="1" applyAlignment="1">
      <alignment horizontal="center" vertical="center"/>
    </xf>
    <xf numFmtId="2" fontId="6" fillId="3" borderId="20" xfId="0" applyNumberFormat="1" applyFont="1" applyFill="1" applyBorder="1" applyAlignment="1">
      <alignment horizontal="center" vertical="center"/>
    </xf>
    <xf numFmtId="2" fontId="6" fillId="3" borderId="21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2" fontId="6" fillId="3" borderId="24" xfId="0" applyNumberFormat="1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10" fontId="0" fillId="4" borderId="23" xfId="0" applyNumberFormat="1" applyFill="1" applyBorder="1" applyAlignment="1">
      <alignment horizontal="center" vertical="center"/>
    </xf>
    <xf numFmtId="10" fontId="0" fillId="0" borderId="23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7" fillId="0" borderId="0" xfId="0" applyFont="1"/>
    <xf numFmtId="0" fontId="4" fillId="0" borderId="17" xfId="0" applyFont="1" applyBorder="1" applyAlignment="1">
      <alignment horizontal="center" vertical="center"/>
    </xf>
    <xf numFmtId="1" fontId="6" fillId="0" borderId="25" xfId="0" applyNumberFormat="1" applyFont="1" applyBorder="1" applyAlignment="1">
      <alignment horizontal="center" vertical="center"/>
    </xf>
    <xf numFmtId="1" fontId="6" fillId="0" borderId="26" xfId="0" applyNumberFormat="1" applyFont="1" applyBorder="1" applyAlignment="1">
      <alignment horizontal="center" vertical="center"/>
    </xf>
    <xf numFmtId="1" fontId="6" fillId="3" borderId="26" xfId="1" applyNumberFormat="1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2" fontId="5" fillId="0" borderId="34" xfId="0" applyNumberFormat="1" applyFont="1" applyBorder="1" applyAlignment="1">
      <alignment horizontal="center" vertical="center"/>
    </xf>
    <xf numFmtId="0" fontId="4" fillId="6" borderId="35" xfId="0" applyFont="1" applyFill="1" applyBorder="1" applyAlignment="1">
      <alignment horizontal="center" vertical="center"/>
    </xf>
    <xf numFmtId="1" fontId="0" fillId="0" borderId="0" xfId="0" applyNumberFormat="1"/>
    <xf numFmtId="0" fontId="4" fillId="0" borderId="35" xfId="0" applyFont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6" fillId="0" borderId="0" xfId="0" applyFont="1"/>
    <xf numFmtId="1" fontId="6" fillId="0" borderId="31" xfId="0" applyNumberFormat="1" applyFont="1" applyBorder="1" applyAlignment="1">
      <alignment horizontal="center" vertical="center"/>
    </xf>
    <xf numFmtId="1" fontId="6" fillId="3" borderId="31" xfId="1" applyNumberFormat="1" applyFont="1" applyFill="1" applyBorder="1" applyAlignment="1">
      <alignment horizontal="center" vertical="center"/>
    </xf>
    <xf numFmtId="1" fontId="6" fillId="0" borderId="38" xfId="0" applyNumberFormat="1" applyFont="1" applyBorder="1" applyAlignment="1">
      <alignment horizontal="center" vertical="center"/>
    </xf>
    <xf numFmtId="1" fontId="2" fillId="0" borderId="0" xfId="0" applyNumberFormat="1" applyFont="1"/>
    <xf numFmtId="1" fontId="4" fillId="0" borderId="11" xfId="0" applyNumberFormat="1" applyFont="1" applyBorder="1" applyAlignment="1">
      <alignment horizontal="center" vertical="center"/>
    </xf>
    <xf numFmtId="2" fontId="4" fillId="3" borderId="11" xfId="0" applyNumberFormat="1" applyFont="1" applyFill="1" applyBorder="1" applyAlignment="1">
      <alignment horizontal="center" vertical="center"/>
    </xf>
    <xf numFmtId="2" fontId="4" fillId="3" borderId="12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2" fontId="4" fillId="3" borderId="13" xfId="0" applyNumberFormat="1" applyFont="1" applyFill="1" applyBorder="1" applyAlignment="1">
      <alignment horizontal="center" vertical="center"/>
    </xf>
    <xf numFmtId="2" fontId="2" fillId="4" borderId="0" xfId="0" applyNumberFormat="1" applyFont="1" applyFill="1" applyAlignment="1">
      <alignment horizontal="center" vertical="center"/>
    </xf>
    <xf numFmtId="10" fontId="2" fillId="4" borderId="39" xfId="0" applyNumberFormat="1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1" fontId="2" fillId="4" borderId="40" xfId="0" applyNumberFormat="1" applyFont="1" applyFill="1" applyBorder="1" applyAlignment="1">
      <alignment horizontal="center" vertical="center"/>
    </xf>
  </cellXfs>
  <cellStyles count="2">
    <cellStyle name="Standard" xfId="0" builtinId="0"/>
    <cellStyle name="Währung" xfId="1" builtinId="4"/>
  </cellStyles>
  <dxfs count="40"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rgb="FFC6EFCE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C6EFCE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C6EFCE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C6EFCE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C6EFCE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C6EFCE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5DBB4-E1DD-454C-9D44-88C1BD1EDFEE}" name="Tabelle1354891013" displayName="Tabelle1354891013" ref="AL5:AN11" totalsRowShown="0" headerRowDxfId="7" dataDxfId="6" headerRowBorderDxfId="4" tableBorderDxfId="5" totalsRowBorderDxfId="3">
  <autoFilter ref="AL5:AN11" xr:uid="{45E583C0-654D-4E93-98E6-0826AE992D61}"/>
  <sortState xmlns:xlrd2="http://schemas.microsoft.com/office/spreadsheetml/2017/richdata2" ref="AL6:AN11">
    <sortCondition descending="1" ref="AN5:AN11"/>
  </sortState>
  <tableColumns count="3">
    <tableColumn id="1" xr3:uid="{BEDEBBBC-C6D1-47CD-B177-1E4631B808A6}" name="Rang" dataDxfId="2"/>
    <tableColumn id="2" xr3:uid="{0C5C02E9-CE40-4C1D-A5AE-C4A5E738D61C}" name="Element" dataDxfId="1"/>
    <tableColumn id="3" xr3:uid="{1B3D1AE9-DE38-457E-ABC9-77FEE365FA07}" name="Team _x000a_Note" dataDxfId="0">
      <calculatedColumnFormula>$AA$21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86F-5BD0-41C9-8748-F7E370EFF641}">
  <dimension ref="A1:AN21"/>
  <sheetViews>
    <sheetView tabSelected="1" zoomScale="70" zoomScaleNormal="70" workbookViewId="0">
      <pane xSplit="1" topLeftCell="B1" activePane="topRight" state="frozen"/>
      <selection pane="topRight" activeCell="H15" sqref="H15"/>
    </sheetView>
  </sheetViews>
  <sheetFormatPr baseColWidth="10" defaultRowHeight="14.5" x14ac:dyDescent="0.35"/>
  <cols>
    <col min="1" max="1" width="6.54296875" customWidth="1"/>
    <col min="2" max="2" width="3.453125" customWidth="1"/>
    <col min="3" max="12" width="4.26953125" customWidth="1"/>
    <col min="13" max="13" width="4.54296875" customWidth="1"/>
    <col min="14" max="26" width="4.26953125" customWidth="1"/>
    <col min="27" max="27" width="5" customWidth="1"/>
    <col min="28" max="30" width="4.26953125" customWidth="1"/>
    <col min="31" max="31" width="5.7265625" customWidth="1"/>
    <col min="32" max="33" width="9.81640625" customWidth="1"/>
    <col min="34" max="34" width="11" customWidth="1"/>
    <col min="35" max="35" width="8.1796875" customWidth="1"/>
    <col min="36" max="36" width="6.81640625" customWidth="1"/>
    <col min="37" max="37" width="3.453125" customWidth="1"/>
    <col min="38" max="38" width="8.1796875" customWidth="1"/>
    <col min="39" max="39" width="12.26953125" customWidth="1"/>
    <col min="40" max="40" width="10.54296875" customWidth="1"/>
  </cols>
  <sheetData>
    <row r="1" spans="1:40" ht="15" customHeight="1" thickBot="1" x14ac:dyDescent="0.4">
      <c r="B1" s="1" t="s">
        <v>0</v>
      </c>
    </row>
    <row r="2" spans="1:40" ht="15" customHeight="1" thickBot="1" x14ac:dyDescent="0.5">
      <c r="A2" s="2"/>
      <c r="B2" s="3" t="s">
        <v>1</v>
      </c>
      <c r="C2" s="4"/>
      <c r="D2" s="4"/>
      <c r="E2" s="4"/>
      <c r="F2" s="5"/>
      <c r="G2" s="6"/>
      <c r="H2" s="3" t="s">
        <v>2</v>
      </c>
      <c r="I2" s="4"/>
      <c r="J2" s="4"/>
      <c r="K2" s="4"/>
      <c r="L2" s="5"/>
      <c r="M2" s="6"/>
      <c r="N2" s="3" t="s">
        <v>3</v>
      </c>
      <c r="O2" s="4"/>
      <c r="P2" s="4"/>
      <c r="Q2" s="4"/>
      <c r="R2" s="5"/>
      <c r="S2" s="6"/>
      <c r="T2" s="3" t="s">
        <v>4</v>
      </c>
      <c r="U2" s="7"/>
      <c r="V2" s="7"/>
      <c r="W2" s="4"/>
      <c r="X2" s="6"/>
      <c r="Y2" s="3" t="s">
        <v>5</v>
      </c>
      <c r="Z2" s="4"/>
      <c r="AA2" s="5"/>
      <c r="AB2" s="3" t="s">
        <v>6</v>
      </c>
      <c r="AC2" s="4"/>
      <c r="AD2" s="6"/>
      <c r="AF2" s="8" t="s">
        <v>7</v>
      </c>
      <c r="AG2" s="9"/>
      <c r="AH2" s="9"/>
      <c r="AI2" s="9"/>
      <c r="AJ2" s="10"/>
    </row>
    <row r="3" spans="1:40" ht="15" customHeight="1" thickBot="1" x14ac:dyDescent="0.5">
      <c r="A3" s="11" t="s">
        <v>8</v>
      </c>
      <c r="B3" s="12">
        <v>3</v>
      </c>
      <c r="C3" s="13">
        <v>2</v>
      </c>
      <c r="D3" s="13">
        <v>1</v>
      </c>
      <c r="E3" s="13">
        <v>0</v>
      </c>
      <c r="F3" s="14" t="s">
        <v>9</v>
      </c>
      <c r="G3" s="14" t="s">
        <v>10</v>
      </c>
      <c r="H3" s="13">
        <v>3</v>
      </c>
      <c r="I3" s="13">
        <v>2</v>
      </c>
      <c r="J3" s="13">
        <v>1</v>
      </c>
      <c r="K3" s="13">
        <v>0</v>
      </c>
      <c r="L3" s="14" t="s">
        <v>9</v>
      </c>
      <c r="M3" s="14" t="s">
        <v>10</v>
      </c>
      <c r="N3" s="13">
        <v>3</v>
      </c>
      <c r="O3" s="13">
        <v>2</v>
      </c>
      <c r="P3" s="13">
        <v>1</v>
      </c>
      <c r="Q3" s="13">
        <v>0</v>
      </c>
      <c r="R3" s="14" t="s">
        <v>9</v>
      </c>
      <c r="S3" s="14" t="s">
        <v>10</v>
      </c>
      <c r="T3" s="13">
        <v>3</v>
      </c>
      <c r="U3" s="13">
        <v>2</v>
      </c>
      <c r="V3" s="13">
        <v>1</v>
      </c>
      <c r="W3" s="13">
        <v>0</v>
      </c>
      <c r="X3" s="14" t="s">
        <v>10</v>
      </c>
      <c r="Y3" s="13">
        <v>3</v>
      </c>
      <c r="Z3" s="13">
        <v>0</v>
      </c>
      <c r="AA3" s="15" t="s">
        <v>10</v>
      </c>
      <c r="AB3" s="12">
        <v>3</v>
      </c>
      <c r="AC3" s="13">
        <v>0</v>
      </c>
      <c r="AD3" s="16" t="s">
        <v>10</v>
      </c>
      <c r="AF3" s="17" t="s">
        <v>8</v>
      </c>
      <c r="AG3" s="18" t="s">
        <v>11</v>
      </c>
      <c r="AH3" s="19" t="s">
        <v>2</v>
      </c>
      <c r="AI3" s="20" t="s">
        <v>12</v>
      </c>
      <c r="AJ3" s="20" t="s">
        <v>13</v>
      </c>
      <c r="AL3" s="21" t="s">
        <v>14</v>
      </c>
    </row>
    <row r="4" spans="1:40" ht="15" customHeight="1" thickBot="1" x14ac:dyDescent="0.5">
      <c r="A4" s="22" t="s">
        <v>15</v>
      </c>
      <c r="B4" s="23"/>
      <c r="C4" s="24"/>
      <c r="D4" s="24"/>
      <c r="E4" s="24"/>
      <c r="F4" s="25">
        <f>SUM(B4:E4)</f>
        <v>0</v>
      </c>
      <c r="G4" s="26">
        <f>IFERROR((B4*$B$3+C4*$C$3+D4*$D$3+E4*$E$3)/(B4+C4+D4+E4),0)</f>
        <v>0</v>
      </c>
      <c r="H4" s="23"/>
      <c r="I4" s="24"/>
      <c r="J4" s="24"/>
      <c r="K4" s="24"/>
      <c r="L4" s="25">
        <f>SUM(H4:K4)</f>
        <v>0</v>
      </c>
      <c r="M4" s="26">
        <f>IFERROR((H4*$B$3+I4*$C$3+J4*$D$3+K4*$E$3)/(H4+I4+J4+K4),0)</f>
        <v>0</v>
      </c>
      <c r="N4" s="23"/>
      <c r="O4" s="24"/>
      <c r="P4" s="24"/>
      <c r="Q4" s="24"/>
      <c r="R4" s="25">
        <f>SUM(N4:Q4)</f>
        <v>0</v>
      </c>
      <c r="S4" s="26">
        <f>IFERROR((N4*$B$3+O4*$C$3+P4*$D$3+Q4*$E$3)/(N4+O4+P4+Q4),0)</f>
        <v>0</v>
      </c>
      <c r="T4" s="23"/>
      <c r="U4" s="24"/>
      <c r="V4" s="24"/>
      <c r="W4" s="24"/>
      <c r="X4" s="26">
        <f>IFERROR((T4*$B$3+U4*$C$3+V4*$D$3+W4*$E$3)/(T4+U4+V4+W4),0)</f>
        <v>0</v>
      </c>
      <c r="Y4" s="23"/>
      <c r="Z4" s="24"/>
      <c r="AA4" s="27">
        <f>IFERROR((Y4*$Y$3+Z4*$Z$3)/(Y4+Z4),0)</f>
        <v>0</v>
      </c>
      <c r="AB4" s="28"/>
      <c r="AC4" s="29"/>
      <c r="AD4" s="30">
        <f t="shared" ref="AD4:AD20" si="0">IFERROR(($AB$3*AB4+AC4*$AC$3)/(AB4+AC4),0)</f>
        <v>0</v>
      </c>
      <c r="AE4" s="1"/>
      <c r="AF4" s="31" t="str">
        <f t="shared" ref="AF4:AF18" si="1">A4</f>
        <v>Peter</v>
      </c>
      <c r="AG4" s="32">
        <f t="shared" ref="AG4:AG20" si="2">IFERROR(N4/(N4+O4+P4+Q4),0)</f>
        <v>0</v>
      </c>
      <c r="AH4" s="33">
        <f t="shared" ref="AH4:AH20" si="3">IFERROR(H4/(H4+I4+J4+K4),0)</f>
        <v>0</v>
      </c>
      <c r="AI4" s="34">
        <f>B4+N4+T4</f>
        <v>0</v>
      </c>
      <c r="AJ4" s="35">
        <f t="shared" ref="AJ4:AJ20" si="4">E4+Q4</f>
        <v>0</v>
      </c>
      <c r="AL4" s="36" t="s">
        <v>16</v>
      </c>
    </row>
    <row r="5" spans="1:40" ht="15" customHeight="1" thickBot="1" x14ac:dyDescent="0.4">
      <c r="A5" s="37" t="s">
        <v>17</v>
      </c>
      <c r="B5" s="38"/>
      <c r="C5" s="39"/>
      <c r="D5" s="39"/>
      <c r="E5" s="39"/>
      <c r="F5" s="40">
        <f t="shared" ref="F5:F20" si="5">SUM(B5:E5)</f>
        <v>0</v>
      </c>
      <c r="G5" s="26">
        <f t="shared" ref="G5:G21" si="6">IFERROR((B5*$B$3+C5*$C$3+D5*$D$3+E5*$E$3)/(B5+C5+D5+E5),0)</f>
        <v>0</v>
      </c>
      <c r="H5" s="38"/>
      <c r="I5" s="39"/>
      <c r="J5" s="39"/>
      <c r="K5" s="39"/>
      <c r="L5" s="40">
        <f>SUM(H5:K5)</f>
        <v>0</v>
      </c>
      <c r="M5" s="26">
        <f t="shared" ref="M5:M20" si="7">IFERROR((H5*$B$3+I5*$C$3+J5*$D$3+K5*$E$3)/(H5+I5+J5+K5),0)</f>
        <v>0</v>
      </c>
      <c r="N5" s="38"/>
      <c r="O5" s="39"/>
      <c r="P5" s="39"/>
      <c r="Q5" s="39"/>
      <c r="R5" s="40">
        <f t="shared" ref="R5:R20" si="8">SUM(N5:Q5)</f>
        <v>0</v>
      </c>
      <c r="S5" s="26">
        <f t="shared" ref="S5:S20" si="9">IFERROR((N5*$B$3+O5*$C$3+P5*$D$3+Q5*$E$3)/(N5+O5+P5+Q5),0)</f>
        <v>0</v>
      </c>
      <c r="T5" s="38"/>
      <c r="U5" s="39"/>
      <c r="V5" s="39"/>
      <c r="W5" s="39"/>
      <c r="X5" s="26">
        <f t="shared" ref="X5:X19" si="10">IFERROR((T5*$B$3+U5*$C$3+V5*$D$3+W5*$E$3)/(T5+U5+V5+W5),0)</f>
        <v>0</v>
      </c>
      <c r="Y5" s="38"/>
      <c r="Z5" s="39"/>
      <c r="AA5" s="27">
        <f t="shared" ref="AA5:AA20" si="11">IFERROR((Y5*$Y$3+Z5*$Z$3)/(Y5+Z5),0)</f>
        <v>0</v>
      </c>
      <c r="AB5" s="38"/>
      <c r="AC5" s="39"/>
      <c r="AD5" s="30">
        <f t="shared" si="0"/>
        <v>0</v>
      </c>
      <c r="AE5" s="1"/>
      <c r="AF5" s="41" t="str">
        <f t="shared" si="1"/>
        <v>Kai</v>
      </c>
      <c r="AG5" s="32">
        <f t="shared" si="2"/>
        <v>0</v>
      </c>
      <c r="AH5" s="33">
        <f t="shared" si="3"/>
        <v>0</v>
      </c>
      <c r="AI5" s="34">
        <f t="shared" ref="AI5:AI20" si="12">B5+N5+T5</f>
        <v>0</v>
      </c>
      <c r="AJ5" s="35">
        <f t="shared" si="4"/>
        <v>0</v>
      </c>
      <c r="AL5" s="42" t="s">
        <v>18</v>
      </c>
      <c r="AM5" s="43" t="s">
        <v>19</v>
      </c>
      <c r="AN5" s="44" t="s">
        <v>20</v>
      </c>
    </row>
    <row r="6" spans="1:40" ht="15" customHeight="1" thickBot="1" x14ac:dyDescent="0.4">
      <c r="A6" s="37" t="s">
        <v>21</v>
      </c>
      <c r="B6" s="38"/>
      <c r="C6" s="39"/>
      <c r="D6" s="45"/>
      <c r="E6" s="39"/>
      <c r="F6" s="40">
        <f t="shared" si="5"/>
        <v>0</v>
      </c>
      <c r="G6" s="26">
        <f t="shared" si="6"/>
        <v>0</v>
      </c>
      <c r="H6" s="38"/>
      <c r="I6" s="39"/>
      <c r="J6" s="39"/>
      <c r="K6" s="39"/>
      <c r="L6" s="40">
        <f t="shared" ref="L6:L20" si="13">SUM(H6:K6)</f>
        <v>0</v>
      </c>
      <c r="M6" s="26">
        <f t="shared" si="7"/>
        <v>0</v>
      </c>
      <c r="N6" s="38"/>
      <c r="O6" s="39"/>
      <c r="P6" s="39"/>
      <c r="Q6" s="39"/>
      <c r="R6" s="40">
        <f t="shared" si="8"/>
        <v>0</v>
      </c>
      <c r="S6" s="26">
        <f t="shared" si="9"/>
        <v>0</v>
      </c>
      <c r="T6" s="38"/>
      <c r="U6" s="39"/>
      <c r="V6" s="39"/>
      <c r="W6" s="39"/>
      <c r="X6" s="26">
        <f t="shared" si="10"/>
        <v>0</v>
      </c>
      <c r="Y6" s="38"/>
      <c r="Z6" s="39"/>
      <c r="AA6" s="27">
        <f t="shared" si="11"/>
        <v>0</v>
      </c>
      <c r="AB6" s="38"/>
      <c r="AC6" s="39"/>
      <c r="AD6" s="30">
        <f t="shared" si="0"/>
        <v>0</v>
      </c>
      <c r="AE6" s="1"/>
      <c r="AF6" s="41" t="str">
        <f t="shared" si="1"/>
        <v>Moyan</v>
      </c>
      <c r="AG6" s="32">
        <f t="shared" si="2"/>
        <v>0</v>
      </c>
      <c r="AH6" s="33">
        <f t="shared" si="3"/>
        <v>0</v>
      </c>
      <c r="AI6" s="34">
        <f t="shared" si="12"/>
        <v>0</v>
      </c>
      <c r="AJ6" s="35">
        <f t="shared" si="4"/>
        <v>0</v>
      </c>
      <c r="AL6" s="46">
        <v>1</v>
      </c>
      <c r="AM6" s="47" t="s">
        <v>6</v>
      </c>
      <c r="AN6" s="48" t="e">
        <f>$AD$21</f>
        <v>#NAME?</v>
      </c>
    </row>
    <row r="7" spans="1:40" ht="15" customHeight="1" thickBot="1" x14ac:dyDescent="0.4">
      <c r="A7" s="37" t="s">
        <v>22</v>
      </c>
      <c r="B7" s="38"/>
      <c r="C7" s="39"/>
      <c r="D7" s="39"/>
      <c r="E7" s="39"/>
      <c r="F7" s="40">
        <f t="shared" si="5"/>
        <v>0</v>
      </c>
      <c r="G7" s="26">
        <f t="shared" si="6"/>
        <v>0</v>
      </c>
      <c r="H7" s="38"/>
      <c r="I7" s="39"/>
      <c r="J7" s="39"/>
      <c r="K7" s="39"/>
      <c r="L7" s="40">
        <f t="shared" si="13"/>
        <v>0</v>
      </c>
      <c r="M7" s="26">
        <f t="shared" si="7"/>
        <v>0</v>
      </c>
      <c r="N7" s="38"/>
      <c r="O7" s="39"/>
      <c r="P7" s="39"/>
      <c r="Q7" s="39"/>
      <c r="R7" s="40">
        <f t="shared" si="8"/>
        <v>0</v>
      </c>
      <c r="S7" s="26">
        <f t="shared" si="9"/>
        <v>0</v>
      </c>
      <c r="T7" s="38"/>
      <c r="U7" s="39"/>
      <c r="V7" s="39"/>
      <c r="W7" s="39"/>
      <c r="X7" s="26">
        <f t="shared" si="10"/>
        <v>0</v>
      </c>
      <c r="Y7" s="38"/>
      <c r="Z7" s="39"/>
      <c r="AA7" s="27">
        <f t="shared" si="11"/>
        <v>0</v>
      </c>
      <c r="AB7" s="38"/>
      <c r="AC7" s="39"/>
      <c r="AD7" s="30">
        <f>IFERROR(($AB$3*AB7+AC7*$AC$3)/(AB7+AC7),0)</f>
        <v>0</v>
      </c>
      <c r="AE7" s="1"/>
      <c r="AF7" s="41" t="str">
        <f t="shared" si="1"/>
        <v>Carl</v>
      </c>
      <c r="AG7" s="32">
        <f t="shared" si="2"/>
        <v>0</v>
      </c>
      <c r="AH7" s="33">
        <f t="shared" si="3"/>
        <v>0</v>
      </c>
      <c r="AI7" s="34">
        <f t="shared" si="12"/>
        <v>0</v>
      </c>
      <c r="AJ7" s="35">
        <f t="shared" si="4"/>
        <v>0</v>
      </c>
      <c r="AL7" s="46">
        <v>4</v>
      </c>
      <c r="AM7" s="47" t="s">
        <v>2</v>
      </c>
      <c r="AN7" s="48" t="e">
        <f>$M$21</f>
        <v>#NAME?</v>
      </c>
    </row>
    <row r="8" spans="1:40" ht="15" customHeight="1" thickBot="1" x14ac:dyDescent="0.4">
      <c r="A8" s="37" t="s">
        <v>23</v>
      </c>
      <c r="B8" s="38"/>
      <c r="C8" s="39"/>
      <c r="D8" s="39"/>
      <c r="E8" s="39"/>
      <c r="F8" s="40">
        <f t="shared" si="5"/>
        <v>0</v>
      </c>
      <c r="G8" s="26">
        <f t="shared" si="6"/>
        <v>0</v>
      </c>
      <c r="H8" s="38"/>
      <c r="I8" s="39"/>
      <c r="J8" s="39"/>
      <c r="K8" s="39"/>
      <c r="L8" s="40">
        <f t="shared" si="13"/>
        <v>0</v>
      </c>
      <c r="M8" s="26">
        <f t="shared" si="7"/>
        <v>0</v>
      </c>
      <c r="N8" s="38"/>
      <c r="O8" s="39"/>
      <c r="P8" s="39"/>
      <c r="Q8" s="39"/>
      <c r="R8" s="40">
        <f t="shared" si="8"/>
        <v>0</v>
      </c>
      <c r="S8" s="26">
        <f t="shared" si="9"/>
        <v>0</v>
      </c>
      <c r="T8" s="38"/>
      <c r="U8" s="39"/>
      <c r="V8" s="39"/>
      <c r="W8" s="39"/>
      <c r="X8" s="26">
        <f t="shared" si="10"/>
        <v>0</v>
      </c>
      <c r="Y8" s="38"/>
      <c r="Z8" s="39"/>
      <c r="AA8" s="27">
        <f t="shared" si="11"/>
        <v>0</v>
      </c>
      <c r="AB8" s="38"/>
      <c r="AC8" s="39"/>
      <c r="AD8" s="30">
        <f t="shared" si="0"/>
        <v>0</v>
      </c>
      <c r="AE8" s="1"/>
      <c r="AF8" s="41" t="str">
        <f t="shared" si="1"/>
        <v>Henri</v>
      </c>
      <c r="AG8" s="32">
        <f t="shared" si="2"/>
        <v>0</v>
      </c>
      <c r="AH8" s="33">
        <f t="shared" si="3"/>
        <v>0</v>
      </c>
      <c r="AI8" s="34">
        <f t="shared" si="12"/>
        <v>0</v>
      </c>
      <c r="AJ8" s="35">
        <f t="shared" si="4"/>
        <v>0</v>
      </c>
      <c r="AL8" s="46">
        <v>2</v>
      </c>
      <c r="AM8" s="47" t="s">
        <v>3</v>
      </c>
      <c r="AN8" s="48" t="e">
        <f>$S$21</f>
        <v>#NAME?</v>
      </c>
    </row>
    <row r="9" spans="1:40" ht="15" customHeight="1" thickBot="1" x14ac:dyDescent="0.4">
      <c r="A9" s="37" t="s">
        <v>24</v>
      </c>
      <c r="B9" s="38"/>
      <c r="C9" s="39"/>
      <c r="D9" s="39"/>
      <c r="E9" s="39"/>
      <c r="F9" s="40">
        <f t="shared" si="5"/>
        <v>0</v>
      </c>
      <c r="G9" s="26">
        <f t="shared" si="6"/>
        <v>0</v>
      </c>
      <c r="H9" s="38"/>
      <c r="I9" s="39"/>
      <c r="J9" s="39"/>
      <c r="K9" s="39"/>
      <c r="L9" s="40">
        <f t="shared" si="13"/>
        <v>0</v>
      </c>
      <c r="M9" s="26">
        <f t="shared" si="7"/>
        <v>0</v>
      </c>
      <c r="N9" s="38"/>
      <c r="O9" s="39"/>
      <c r="P9" s="39"/>
      <c r="Q9" s="39"/>
      <c r="R9" s="40">
        <f t="shared" si="8"/>
        <v>0</v>
      </c>
      <c r="S9" s="26">
        <f t="shared" si="9"/>
        <v>0</v>
      </c>
      <c r="T9" s="38"/>
      <c r="U9" s="39"/>
      <c r="V9" s="39"/>
      <c r="W9" s="39"/>
      <c r="X9" s="26">
        <f t="shared" si="10"/>
        <v>0</v>
      </c>
      <c r="Y9" s="38"/>
      <c r="Z9" s="39"/>
      <c r="AA9" s="27">
        <f t="shared" si="11"/>
        <v>0</v>
      </c>
      <c r="AB9" s="38"/>
      <c r="AC9" s="39"/>
      <c r="AD9" s="30">
        <f t="shared" si="0"/>
        <v>0</v>
      </c>
      <c r="AE9" s="1"/>
      <c r="AF9" s="41" t="str">
        <f t="shared" si="1"/>
        <v>Fynn</v>
      </c>
      <c r="AG9" s="32">
        <f t="shared" si="2"/>
        <v>0</v>
      </c>
      <c r="AH9" s="33">
        <f t="shared" si="3"/>
        <v>0</v>
      </c>
      <c r="AI9" s="34">
        <f t="shared" si="12"/>
        <v>0</v>
      </c>
      <c r="AJ9" s="35">
        <f t="shared" si="4"/>
        <v>0</v>
      </c>
      <c r="AL9" s="46">
        <v>3</v>
      </c>
      <c r="AM9" s="47" t="s">
        <v>5</v>
      </c>
      <c r="AN9" s="48" t="e">
        <f>$AA$21</f>
        <v>#NAME?</v>
      </c>
    </row>
    <row r="10" spans="1:40" ht="15" customHeight="1" thickBot="1" x14ac:dyDescent="0.4">
      <c r="A10" s="49" t="s">
        <v>25</v>
      </c>
      <c r="B10" s="38"/>
      <c r="C10" s="39"/>
      <c r="D10" s="39"/>
      <c r="E10" s="39"/>
      <c r="F10" s="40">
        <f t="shared" si="5"/>
        <v>0</v>
      </c>
      <c r="G10" s="26">
        <f t="shared" si="6"/>
        <v>0</v>
      </c>
      <c r="H10" s="38"/>
      <c r="I10" s="39"/>
      <c r="J10" s="39"/>
      <c r="K10" s="39"/>
      <c r="L10" s="40">
        <f>SUM(H10:K10)</f>
        <v>0</v>
      </c>
      <c r="M10" s="26">
        <f t="shared" si="7"/>
        <v>0</v>
      </c>
      <c r="N10" s="38"/>
      <c r="O10" s="39"/>
      <c r="P10" s="39"/>
      <c r="Q10" s="39"/>
      <c r="R10" s="40">
        <f t="shared" si="8"/>
        <v>0</v>
      </c>
      <c r="S10" s="26">
        <f t="shared" si="9"/>
        <v>0</v>
      </c>
      <c r="T10" s="38"/>
      <c r="U10" s="39"/>
      <c r="V10" s="39"/>
      <c r="W10" s="39"/>
      <c r="X10" s="26">
        <f t="shared" si="10"/>
        <v>0</v>
      </c>
      <c r="Y10" s="38"/>
      <c r="Z10" s="39"/>
      <c r="AA10" s="27">
        <f t="shared" si="11"/>
        <v>0</v>
      </c>
      <c r="AB10" s="38"/>
      <c r="AC10" s="39"/>
      <c r="AD10" s="30">
        <f t="shared" si="0"/>
        <v>0</v>
      </c>
      <c r="AE10" s="1"/>
      <c r="AF10" s="50" t="str">
        <f t="shared" si="1"/>
        <v>Alex</v>
      </c>
      <c r="AG10" s="32">
        <f t="shared" si="2"/>
        <v>0</v>
      </c>
      <c r="AH10" s="33">
        <f t="shared" si="3"/>
        <v>0</v>
      </c>
      <c r="AI10" s="34">
        <f t="shared" si="12"/>
        <v>0</v>
      </c>
      <c r="AJ10" s="35">
        <f t="shared" si="4"/>
        <v>0</v>
      </c>
      <c r="AL10" s="46">
        <v>6</v>
      </c>
      <c r="AM10" s="47" t="s">
        <v>1</v>
      </c>
      <c r="AN10" s="48">
        <f>$G$21</f>
        <v>0</v>
      </c>
    </row>
    <row r="11" spans="1:40" ht="15" customHeight="1" thickBot="1" x14ac:dyDescent="0.4">
      <c r="A11" s="37" t="s">
        <v>26</v>
      </c>
      <c r="B11" s="38"/>
      <c r="C11" s="39"/>
      <c r="D11" s="39"/>
      <c r="E11" s="39"/>
      <c r="F11" s="40">
        <f t="shared" si="5"/>
        <v>0</v>
      </c>
      <c r="G11" s="26">
        <f t="shared" si="6"/>
        <v>0</v>
      </c>
      <c r="H11" s="38"/>
      <c r="I11" s="39"/>
      <c r="J11" s="39"/>
      <c r="K11" s="39"/>
      <c r="L11" s="40">
        <f t="shared" si="13"/>
        <v>0</v>
      </c>
      <c r="M11" s="26">
        <f t="shared" si="7"/>
        <v>0</v>
      </c>
      <c r="N11" s="38"/>
      <c r="O11" s="39"/>
      <c r="P11" s="39"/>
      <c r="Q11" s="39"/>
      <c r="R11" s="40">
        <f t="shared" si="8"/>
        <v>0</v>
      </c>
      <c r="S11" s="26">
        <f t="shared" si="9"/>
        <v>0</v>
      </c>
      <c r="T11" s="38"/>
      <c r="U11" s="39"/>
      <c r="V11" s="39"/>
      <c r="W11" s="39"/>
      <c r="X11" s="26">
        <f t="shared" si="10"/>
        <v>0</v>
      </c>
      <c r="Y11" s="38"/>
      <c r="Z11" s="39"/>
      <c r="AA11" s="27">
        <f t="shared" si="11"/>
        <v>0</v>
      </c>
      <c r="AB11" s="38"/>
      <c r="AC11" s="39"/>
      <c r="AD11" s="30">
        <f t="shared" si="0"/>
        <v>0</v>
      </c>
      <c r="AE11" s="1"/>
      <c r="AF11" s="41" t="str">
        <f t="shared" si="1"/>
        <v>Felix</v>
      </c>
      <c r="AG11" s="32">
        <f t="shared" si="2"/>
        <v>0</v>
      </c>
      <c r="AH11" s="33">
        <f t="shared" si="3"/>
        <v>0</v>
      </c>
      <c r="AI11" s="34">
        <f t="shared" si="12"/>
        <v>0</v>
      </c>
      <c r="AJ11" s="35">
        <f t="shared" si="4"/>
        <v>0</v>
      </c>
      <c r="AL11" s="51">
        <v>5</v>
      </c>
      <c r="AM11" s="52" t="s">
        <v>4</v>
      </c>
      <c r="AN11" s="48" t="e">
        <f>$X$21</f>
        <v>#NAME?</v>
      </c>
    </row>
    <row r="12" spans="1:40" ht="15" customHeight="1" thickBot="1" x14ac:dyDescent="0.4">
      <c r="A12" s="37" t="s">
        <v>27</v>
      </c>
      <c r="B12" s="38"/>
      <c r="C12" s="39"/>
      <c r="D12" s="39"/>
      <c r="E12" s="39"/>
      <c r="F12" s="40">
        <f t="shared" si="5"/>
        <v>0</v>
      </c>
      <c r="G12" s="26">
        <f t="shared" si="6"/>
        <v>0</v>
      </c>
      <c r="H12" s="38"/>
      <c r="I12" s="39"/>
      <c r="J12" s="39"/>
      <c r="K12" s="39"/>
      <c r="L12" s="40">
        <f t="shared" si="13"/>
        <v>0</v>
      </c>
      <c r="M12" s="26">
        <f t="shared" si="7"/>
        <v>0</v>
      </c>
      <c r="N12" s="38"/>
      <c r="O12" s="39"/>
      <c r="P12" s="39"/>
      <c r="Q12" s="39"/>
      <c r="R12" s="40">
        <f t="shared" si="8"/>
        <v>0</v>
      </c>
      <c r="S12" s="26">
        <f t="shared" si="9"/>
        <v>0</v>
      </c>
      <c r="T12" s="38"/>
      <c r="U12" s="39"/>
      <c r="V12" s="39"/>
      <c r="W12" s="39"/>
      <c r="X12" s="26">
        <f t="shared" si="10"/>
        <v>0</v>
      </c>
      <c r="Y12" s="38"/>
      <c r="Z12" s="39"/>
      <c r="AA12" s="27">
        <f t="shared" si="11"/>
        <v>0</v>
      </c>
      <c r="AB12" s="38"/>
      <c r="AC12" s="39"/>
      <c r="AD12" s="30">
        <f t="shared" si="0"/>
        <v>0</v>
      </c>
      <c r="AE12" s="1"/>
      <c r="AF12" s="41" t="str">
        <f t="shared" si="1"/>
        <v>Finn</v>
      </c>
      <c r="AG12" s="32">
        <f t="shared" si="2"/>
        <v>0</v>
      </c>
      <c r="AH12" s="33">
        <f t="shared" si="3"/>
        <v>0</v>
      </c>
      <c r="AI12" s="34">
        <f t="shared" si="12"/>
        <v>0</v>
      </c>
      <c r="AJ12" s="35">
        <f t="shared" si="4"/>
        <v>0</v>
      </c>
      <c r="AL12" s="51"/>
      <c r="AM12" s="51"/>
      <c r="AN12" s="53"/>
    </row>
    <row r="13" spans="1:40" ht="15" customHeight="1" thickBot="1" x14ac:dyDescent="0.4">
      <c r="A13" s="37" t="s">
        <v>28</v>
      </c>
      <c r="B13" s="38"/>
      <c r="C13" s="39"/>
      <c r="D13" s="39"/>
      <c r="E13" s="39"/>
      <c r="F13" s="40">
        <f t="shared" si="5"/>
        <v>0</v>
      </c>
      <c r="G13" s="26">
        <f t="shared" si="6"/>
        <v>0</v>
      </c>
      <c r="H13" s="38"/>
      <c r="I13" s="39"/>
      <c r="J13" s="39"/>
      <c r="K13" s="39"/>
      <c r="L13" s="40">
        <f t="shared" si="13"/>
        <v>0</v>
      </c>
      <c r="M13" s="26">
        <f t="shared" si="7"/>
        <v>0</v>
      </c>
      <c r="N13" s="38"/>
      <c r="O13" s="39"/>
      <c r="P13" s="39"/>
      <c r="Q13" s="39"/>
      <c r="R13" s="40">
        <f t="shared" si="8"/>
        <v>0</v>
      </c>
      <c r="S13" s="26">
        <f t="shared" si="9"/>
        <v>0</v>
      </c>
      <c r="T13" s="38"/>
      <c r="U13" s="39"/>
      <c r="V13" s="39"/>
      <c r="W13" s="39"/>
      <c r="X13" s="26">
        <f t="shared" si="10"/>
        <v>0</v>
      </c>
      <c r="Y13" s="38"/>
      <c r="Z13" s="39"/>
      <c r="AA13" s="27">
        <f t="shared" si="11"/>
        <v>0</v>
      </c>
      <c r="AB13" s="38"/>
      <c r="AC13" s="39"/>
      <c r="AD13" s="30">
        <f t="shared" si="0"/>
        <v>0</v>
      </c>
      <c r="AE13" s="2"/>
      <c r="AF13" s="41" t="str">
        <f t="shared" si="1"/>
        <v>Till</v>
      </c>
      <c r="AG13" s="32">
        <f t="shared" si="2"/>
        <v>0</v>
      </c>
      <c r="AH13" s="33">
        <f t="shared" si="3"/>
        <v>0</v>
      </c>
      <c r="AI13" s="34">
        <f t="shared" si="12"/>
        <v>0</v>
      </c>
      <c r="AJ13" s="35">
        <f t="shared" si="4"/>
        <v>0</v>
      </c>
      <c r="AL13" s="54"/>
      <c r="AM13" s="55" t="s">
        <v>29</v>
      </c>
      <c r="AN13" s="56" t="e">
        <f>(((B21+H21+N21+T21+Y21+AB21)*B3)+((C21+I21+O21+U21)*C3)+((D21+J21+P21+V21)*D3)+((E21+K21+Q21+W21+Z21+AC21)*E3))/(F21+L21+R21+T21+W21+U21+V21+Y21+Z21+AB21+AC21)</f>
        <v>#DIV/0!</v>
      </c>
    </row>
    <row r="14" spans="1:40" ht="15" customHeight="1" thickBot="1" x14ac:dyDescent="0.4">
      <c r="A14" s="37" t="s">
        <v>30</v>
      </c>
      <c r="B14" s="38"/>
      <c r="C14" s="39"/>
      <c r="D14" s="39"/>
      <c r="E14" s="39"/>
      <c r="F14" s="40">
        <f t="shared" si="5"/>
        <v>0</v>
      </c>
      <c r="G14" s="26">
        <f t="shared" si="6"/>
        <v>0</v>
      </c>
      <c r="H14" s="38"/>
      <c r="I14" s="39"/>
      <c r="J14" s="39"/>
      <c r="K14" s="39"/>
      <c r="L14" s="40">
        <f t="shared" si="13"/>
        <v>0</v>
      </c>
      <c r="M14" s="26">
        <f t="shared" si="7"/>
        <v>0</v>
      </c>
      <c r="N14" s="38"/>
      <c r="O14" s="39"/>
      <c r="P14" s="39"/>
      <c r="Q14" s="39"/>
      <c r="R14" s="40">
        <f t="shared" si="8"/>
        <v>0</v>
      </c>
      <c r="S14" s="26">
        <f t="shared" si="9"/>
        <v>0</v>
      </c>
      <c r="T14" s="38"/>
      <c r="U14" s="39"/>
      <c r="V14" s="39"/>
      <c r="W14" s="39"/>
      <c r="X14" s="26">
        <f t="shared" si="10"/>
        <v>0</v>
      </c>
      <c r="Y14" s="38"/>
      <c r="Z14" s="39"/>
      <c r="AA14" s="27">
        <f t="shared" si="11"/>
        <v>0</v>
      </c>
      <c r="AB14" s="38"/>
      <c r="AC14" s="39"/>
      <c r="AD14" s="30">
        <f t="shared" si="0"/>
        <v>0</v>
      </c>
      <c r="AE14" s="2"/>
      <c r="AF14" s="41" t="str">
        <f t="shared" si="1"/>
        <v>Raba</v>
      </c>
      <c r="AG14" s="32">
        <f t="shared" si="2"/>
        <v>0</v>
      </c>
      <c r="AH14" s="33">
        <f t="shared" si="3"/>
        <v>0</v>
      </c>
      <c r="AI14" s="34">
        <f t="shared" si="12"/>
        <v>0</v>
      </c>
      <c r="AJ14" s="35">
        <f t="shared" si="4"/>
        <v>0</v>
      </c>
    </row>
    <row r="15" spans="1:40" ht="15" customHeight="1" thickBot="1" x14ac:dyDescent="0.4">
      <c r="A15" s="57" t="s">
        <v>31</v>
      </c>
      <c r="B15" s="38"/>
      <c r="C15" s="39"/>
      <c r="D15" s="39"/>
      <c r="E15" s="39"/>
      <c r="F15" s="40">
        <f t="shared" si="5"/>
        <v>0</v>
      </c>
      <c r="G15" s="26">
        <f t="shared" si="6"/>
        <v>0</v>
      </c>
      <c r="H15" s="38"/>
      <c r="I15" s="39"/>
      <c r="J15" s="39"/>
      <c r="K15" s="39"/>
      <c r="L15" s="40">
        <f t="shared" si="13"/>
        <v>0</v>
      </c>
      <c r="M15" s="26">
        <f t="shared" si="7"/>
        <v>0</v>
      </c>
      <c r="N15" s="38"/>
      <c r="O15" s="39"/>
      <c r="P15" s="39"/>
      <c r="Q15" s="39"/>
      <c r="R15" s="40">
        <f t="shared" si="8"/>
        <v>0</v>
      </c>
      <c r="S15" s="26">
        <f t="shared" si="9"/>
        <v>0</v>
      </c>
      <c r="T15" s="38"/>
      <c r="U15" s="39"/>
      <c r="V15" s="39"/>
      <c r="W15" s="39"/>
      <c r="X15" s="26">
        <f t="shared" si="10"/>
        <v>0</v>
      </c>
      <c r="Y15" s="38"/>
      <c r="Z15" s="39"/>
      <c r="AA15" s="27">
        <f t="shared" si="11"/>
        <v>0</v>
      </c>
      <c r="AB15" s="38"/>
      <c r="AC15" s="39"/>
      <c r="AD15" s="30">
        <f t="shared" si="0"/>
        <v>0</v>
      </c>
      <c r="AE15" s="2"/>
      <c r="AF15" s="50" t="str">
        <f t="shared" si="1"/>
        <v>Bennet</v>
      </c>
      <c r="AG15" s="32">
        <f t="shared" si="2"/>
        <v>0</v>
      </c>
      <c r="AH15" s="33">
        <f t="shared" si="3"/>
        <v>0</v>
      </c>
      <c r="AI15" s="34">
        <f t="shared" si="12"/>
        <v>0</v>
      </c>
      <c r="AJ15" s="35">
        <f t="shared" si="4"/>
        <v>0</v>
      </c>
      <c r="AM15" s="58"/>
    </row>
    <row r="16" spans="1:40" ht="15" customHeight="1" thickBot="1" x14ac:dyDescent="0.4">
      <c r="A16" s="59" t="s">
        <v>32</v>
      </c>
      <c r="B16" s="38"/>
      <c r="C16" s="39"/>
      <c r="D16" s="39"/>
      <c r="E16" s="39"/>
      <c r="F16" s="40">
        <f t="shared" si="5"/>
        <v>0</v>
      </c>
      <c r="G16" s="26">
        <f t="shared" si="6"/>
        <v>0</v>
      </c>
      <c r="H16" s="38"/>
      <c r="I16" s="39"/>
      <c r="J16" s="39"/>
      <c r="K16" s="39"/>
      <c r="L16" s="40">
        <f t="shared" si="13"/>
        <v>0</v>
      </c>
      <c r="M16" s="26">
        <f t="shared" si="7"/>
        <v>0</v>
      </c>
      <c r="N16" s="38"/>
      <c r="O16" s="39"/>
      <c r="P16" s="39"/>
      <c r="Q16" s="39"/>
      <c r="R16" s="40">
        <f t="shared" si="8"/>
        <v>0</v>
      </c>
      <c r="S16" s="26">
        <f t="shared" si="9"/>
        <v>0</v>
      </c>
      <c r="T16" s="38"/>
      <c r="U16" s="39"/>
      <c r="V16" s="39"/>
      <c r="W16" s="39"/>
      <c r="X16" s="26">
        <f t="shared" si="10"/>
        <v>0</v>
      </c>
      <c r="Y16" s="38"/>
      <c r="Z16" s="39"/>
      <c r="AA16" s="27">
        <f t="shared" si="11"/>
        <v>0</v>
      </c>
      <c r="AB16" s="38"/>
      <c r="AC16" s="39"/>
      <c r="AD16" s="30">
        <f t="shared" si="0"/>
        <v>0</v>
      </c>
      <c r="AE16" s="2"/>
      <c r="AF16" s="41" t="str">
        <f t="shared" si="1"/>
        <v>Hannes</v>
      </c>
      <c r="AG16" s="32">
        <f t="shared" si="2"/>
        <v>0</v>
      </c>
      <c r="AH16" s="33">
        <f t="shared" si="3"/>
        <v>0</v>
      </c>
      <c r="AI16" s="34">
        <f t="shared" si="12"/>
        <v>0</v>
      </c>
      <c r="AJ16" s="35">
        <f t="shared" si="4"/>
        <v>0</v>
      </c>
      <c r="AM16" s="58"/>
    </row>
    <row r="17" spans="1:40" ht="15" customHeight="1" thickBot="1" x14ac:dyDescent="0.4">
      <c r="A17" s="59" t="s">
        <v>33</v>
      </c>
      <c r="B17" s="38"/>
      <c r="C17" s="39"/>
      <c r="D17" s="39"/>
      <c r="E17" s="39"/>
      <c r="F17" s="40">
        <f t="shared" si="5"/>
        <v>0</v>
      </c>
      <c r="G17" s="26">
        <f t="shared" si="6"/>
        <v>0</v>
      </c>
      <c r="H17" s="38"/>
      <c r="I17" s="39"/>
      <c r="J17" s="39"/>
      <c r="K17" s="39"/>
      <c r="L17" s="40">
        <f t="shared" si="13"/>
        <v>0</v>
      </c>
      <c r="M17" s="26">
        <f t="shared" si="7"/>
        <v>0</v>
      </c>
      <c r="N17" s="38"/>
      <c r="O17" s="39"/>
      <c r="P17" s="39"/>
      <c r="Q17" s="39"/>
      <c r="R17" s="40">
        <f t="shared" si="8"/>
        <v>0</v>
      </c>
      <c r="S17" s="26">
        <f t="shared" si="9"/>
        <v>0</v>
      </c>
      <c r="T17" s="38"/>
      <c r="U17" s="39"/>
      <c r="V17" s="39"/>
      <c r="W17" s="39"/>
      <c r="X17" s="26">
        <f t="shared" si="10"/>
        <v>0</v>
      </c>
      <c r="Y17" s="38"/>
      <c r="Z17" s="39"/>
      <c r="AA17" s="27">
        <f t="shared" si="11"/>
        <v>0</v>
      </c>
      <c r="AB17" s="38"/>
      <c r="AC17" s="39"/>
      <c r="AD17" s="30">
        <f t="shared" si="0"/>
        <v>0</v>
      </c>
      <c r="AE17" s="2"/>
      <c r="AF17" s="60" t="str">
        <f t="shared" si="1"/>
        <v>Jonas</v>
      </c>
      <c r="AG17" s="32">
        <f t="shared" si="2"/>
        <v>0</v>
      </c>
      <c r="AH17" s="33">
        <f t="shared" si="3"/>
        <v>0</v>
      </c>
      <c r="AI17" s="34">
        <f t="shared" si="12"/>
        <v>0</v>
      </c>
      <c r="AJ17" s="35">
        <f t="shared" si="4"/>
        <v>0</v>
      </c>
      <c r="AM17" s="58"/>
    </row>
    <row r="18" spans="1:40" ht="15" customHeight="1" thickBot="1" x14ac:dyDescent="0.4">
      <c r="A18" s="59" t="s">
        <v>34</v>
      </c>
      <c r="B18" s="38"/>
      <c r="C18" s="39"/>
      <c r="D18" s="39"/>
      <c r="E18" s="39"/>
      <c r="F18" s="40">
        <f t="shared" si="5"/>
        <v>0</v>
      </c>
      <c r="G18" s="26">
        <f t="shared" si="6"/>
        <v>0</v>
      </c>
      <c r="H18" s="38"/>
      <c r="I18" s="39"/>
      <c r="J18" s="39"/>
      <c r="K18" s="39"/>
      <c r="L18" s="40">
        <f t="shared" si="13"/>
        <v>0</v>
      </c>
      <c r="M18" s="26">
        <f t="shared" si="7"/>
        <v>0</v>
      </c>
      <c r="N18" s="38"/>
      <c r="O18" s="39"/>
      <c r="P18" s="39"/>
      <c r="Q18" s="39"/>
      <c r="R18" s="40">
        <f t="shared" si="8"/>
        <v>0</v>
      </c>
      <c r="S18" s="26">
        <f t="shared" si="9"/>
        <v>0</v>
      </c>
      <c r="T18" s="38"/>
      <c r="U18" s="39"/>
      <c r="V18" s="39"/>
      <c r="W18" s="39"/>
      <c r="X18" s="26">
        <f t="shared" si="10"/>
        <v>0</v>
      </c>
      <c r="Y18" s="38"/>
      <c r="Z18" s="39"/>
      <c r="AA18" s="27">
        <f t="shared" si="11"/>
        <v>0</v>
      </c>
      <c r="AB18" s="38"/>
      <c r="AC18" s="39"/>
      <c r="AD18" s="30">
        <f t="shared" si="0"/>
        <v>0</v>
      </c>
      <c r="AE18" s="2"/>
      <c r="AF18" s="61" t="str">
        <f t="shared" si="1"/>
        <v>Andi</v>
      </c>
      <c r="AG18" s="32">
        <f t="shared" si="2"/>
        <v>0</v>
      </c>
      <c r="AH18" s="33">
        <f t="shared" si="3"/>
        <v>0</v>
      </c>
      <c r="AI18" s="34">
        <f t="shared" si="12"/>
        <v>0</v>
      </c>
      <c r="AJ18" s="35">
        <f t="shared" si="4"/>
        <v>0</v>
      </c>
      <c r="AM18" s="58"/>
    </row>
    <row r="19" spans="1:40" ht="15" customHeight="1" thickBot="1" x14ac:dyDescent="0.4">
      <c r="A19" s="59" t="s">
        <v>35</v>
      </c>
      <c r="B19" s="62"/>
      <c r="C19" s="63"/>
      <c r="D19" s="63"/>
      <c r="E19" s="63"/>
      <c r="F19" s="64"/>
      <c r="G19" s="26">
        <f t="shared" si="6"/>
        <v>0</v>
      </c>
      <c r="H19" s="65"/>
      <c r="I19" s="63"/>
      <c r="J19" s="63"/>
      <c r="K19" s="63"/>
      <c r="L19" s="64"/>
      <c r="M19" s="26">
        <f t="shared" si="7"/>
        <v>0</v>
      </c>
      <c r="N19" s="65"/>
      <c r="O19" s="63"/>
      <c r="P19" s="63"/>
      <c r="Q19" s="63"/>
      <c r="R19" s="64"/>
      <c r="S19" s="26">
        <f t="shared" si="9"/>
        <v>0</v>
      </c>
      <c r="T19" s="65"/>
      <c r="U19" s="63"/>
      <c r="V19" s="63"/>
      <c r="W19" s="63"/>
      <c r="X19" s="26">
        <f t="shared" si="10"/>
        <v>0</v>
      </c>
      <c r="Y19" s="65"/>
      <c r="Z19" s="63"/>
      <c r="AA19" s="27">
        <f t="shared" si="11"/>
        <v>0</v>
      </c>
      <c r="AB19" s="65"/>
      <c r="AC19" s="63"/>
      <c r="AD19" s="30">
        <f t="shared" si="0"/>
        <v>0</v>
      </c>
      <c r="AE19" s="2"/>
      <c r="AF19" s="61" t="str">
        <f>A19</f>
        <v>Ciupke</v>
      </c>
      <c r="AG19" s="32">
        <f t="shared" si="2"/>
        <v>0</v>
      </c>
      <c r="AH19" s="33">
        <f t="shared" si="3"/>
        <v>0</v>
      </c>
      <c r="AI19" s="34">
        <f t="shared" si="12"/>
        <v>0</v>
      </c>
      <c r="AJ19" s="35">
        <f t="shared" si="4"/>
        <v>0</v>
      </c>
      <c r="AM19" s="58"/>
    </row>
    <row r="20" spans="1:40" ht="15" customHeight="1" thickBot="1" x14ac:dyDescent="0.4">
      <c r="A20" s="59" t="s">
        <v>36</v>
      </c>
      <c r="B20" s="65"/>
      <c r="C20" s="63"/>
      <c r="D20" s="63"/>
      <c r="E20" s="63"/>
      <c r="F20" s="64">
        <f t="shared" si="5"/>
        <v>0</v>
      </c>
      <c r="G20" s="26">
        <f t="shared" si="6"/>
        <v>0</v>
      </c>
      <c r="H20" s="65"/>
      <c r="I20" s="63"/>
      <c r="J20" s="63"/>
      <c r="K20" s="63"/>
      <c r="L20" s="64">
        <f t="shared" si="13"/>
        <v>0</v>
      </c>
      <c r="M20" s="26">
        <f t="shared" si="7"/>
        <v>0</v>
      </c>
      <c r="N20" s="65"/>
      <c r="O20" s="63"/>
      <c r="P20" s="63"/>
      <c r="Q20" s="63"/>
      <c r="R20" s="64">
        <f t="shared" si="8"/>
        <v>0</v>
      </c>
      <c r="S20" s="26">
        <f t="shared" si="9"/>
        <v>0</v>
      </c>
      <c r="T20" s="65"/>
      <c r="U20" s="63"/>
      <c r="V20" s="63"/>
      <c r="W20" s="63"/>
      <c r="X20" s="26">
        <f>IFERROR((T20*$B$3+U20*$C$3+V20*$D$3+W20*$E$3)/(T20+U20+V20+W20),0)</f>
        <v>0</v>
      </c>
      <c r="Y20" s="65"/>
      <c r="Z20" s="63"/>
      <c r="AA20" s="27">
        <f t="shared" si="11"/>
        <v>0</v>
      </c>
      <c r="AB20" s="65"/>
      <c r="AC20" s="63"/>
      <c r="AD20" s="30">
        <f t="shared" si="0"/>
        <v>0</v>
      </c>
      <c r="AE20" s="2"/>
      <c r="AF20" s="61" t="str">
        <f>A20</f>
        <v>Heppe</v>
      </c>
      <c r="AG20" s="32">
        <f t="shared" si="2"/>
        <v>0</v>
      </c>
      <c r="AH20" s="33">
        <f t="shared" si="3"/>
        <v>0</v>
      </c>
      <c r="AI20" s="34">
        <f t="shared" si="12"/>
        <v>0</v>
      </c>
      <c r="AJ20" s="35">
        <f t="shared" si="4"/>
        <v>0</v>
      </c>
      <c r="AM20" s="66"/>
      <c r="AN20" s="66"/>
    </row>
    <row r="21" spans="1:40" ht="15" customHeight="1" thickBot="1" x14ac:dyDescent="0.4">
      <c r="A21" s="12" t="s">
        <v>37</v>
      </c>
      <c r="B21" s="67">
        <f>SUM(B4:B20)</f>
        <v>0</v>
      </c>
      <c r="C21" s="67">
        <f>SUM(C4:C20)</f>
        <v>0</v>
      </c>
      <c r="D21" s="67">
        <f>SUM(D4:D20)</f>
        <v>0</v>
      </c>
      <c r="E21" s="67">
        <f>SUM(E4:E20)</f>
        <v>0</v>
      </c>
      <c r="F21" s="67">
        <f>SUM(F4:F20)</f>
        <v>0</v>
      </c>
      <c r="G21" s="68">
        <f t="shared" si="6"/>
        <v>0</v>
      </c>
      <c r="H21" s="67">
        <f>SUM(H4:H20)</f>
        <v>0</v>
      </c>
      <c r="I21" s="67">
        <f>SUM(I4:I20)</f>
        <v>0</v>
      </c>
      <c r="J21" s="67">
        <f>SUM(J4:J20)</f>
        <v>0</v>
      </c>
      <c r="K21" s="67">
        <f>SUM(K4:K20)</f>
        <v>0</v>
      </c>
      <c r="L21" s="67">
        <f>SUM(L4:L20)</f>
        <v>0</v>
      </c>
      <c r="M21" s="68" t="e" cm="1">
        <f t="array" ref="M21">IFERROR((H21*$B$3+I21*$C$3+J21*$D$3+K21*$E$3)/(H21+I21+J21+K21),O)</f>
        <v>#NAME?</v>
      </c>
      <c r="N21" s="67">
        <f>SUM(N4:N20)</f>
        <v>0</v>
      </c>
      <c r="O21" s="67">
        <f>SUM(O4:O20)</f>
        <v>0</v>
      </c>
      <c r="P21" s="67">
        <f>SUM(P4:P20)</f>
        <v>0</v>
      </c>
      <c r="Q21" s="67">
        <f>SUM(Q4:Q20)</f>
        <v>0</v>
      </c>
      <c r="R21" s="67">
        <f>SUM(R4:R20)</f>
        <v>0</v>
      </c>
      <c r="S21" s="68" t="e" cm="1">
        <f t="array" ref="S21">IFERROR((N21*$B$3+O21*$C$3+P21*$D$3+Q21*$E$3)/(N21+O21+P21+Q21),O)</f>
        <v>#NAME?</v>
      </c>
      <c r="T21" s="67">
        <f>SUM(T4:T20)</f>
        <v>0</v>
      </c>
      <c r="U21" s="67">
        <f>SUM(U4:U20)</f>
        <v>0</v>
      </c>
      <c r="V21" s="67">
        <f>SUM(V4:V20)</f>
        <v>0</v>
      </c>
      <c r="W21" s="67">
        <f>SUM(W4:W20)</f>
        <v>0</v>
      </c>
      <c r="X21" s="68" t="e" cm="1">
        <f t="array" ref="X21">IFERROR(($T$3*T21+W21*$W$3)/(T21+W21),O)</f>
        <v>#NAME?</v>
      </c>
      <c r="Y21" s="67">
        <f>SUM(Y4:Y20)</f>
        <v>0</v>
      </c>
      <c r="Z21" s="67">
        <f>SUM(Z4:Z20)</f>
        <v>0</v>
      </c>
      <c r="AA21" s="69" t="e" cm="1">
        <f t="array" ref="AA21">IFERROR((Y21*$Y$3+Z21*$Z$3)/(Y21+Z21),O)</f>
        <v>#NAME?</v>
      </c>
      <c r="AB21" s="70">
        <f>SUM(AB4:AB20)</f>
        <v>0</v>
      </c>
      <c r="AC21" s="67">
        <f>SUM(AC4:AC20)</f>
        <v>0</v>
      </c>
      <c r="AD21" s="71" t="e" cm="1">
        <f t="array" ref="AD21">IFERROR(($AB$3*AB21+AC21*$AC$3)/(AB21+AC21),O)</f>
        <v>#NAME?</v>
      </c>
      <c r="AE21" s="72"/>
      <c r="AF21" s="61" t="s">
        <v>37</v>
      </c>
      <c r="AG21" s="73" t="e">
        <f>(SUM(N21)/(SUM(N21:Q21)))</f>
        <v>#DIV/0!</v>
      </c>
      <c r="AH21" s="73" t="e">
        <f>(SUM(H21)/(SUM(H21:K21)))</f>
        <v>#DIV/0!</v>
      </c>
      <c r="AI21" s="74">
        <f>SUM(AI4:AI20)</f>
        <v>0</v>
      </c>
      <c r="AJ21" s="75">
        <f>E21+Q21</f>
        <v>0</v>
      </c>
      <c r="AK21">
        <v>28</v>
      </c>
    </row>
  </sheetData>
  <mergeCells count="7">
    <mergeCell ref="AF2:AJ2"/>
    <mergeCell ref="B2:G2"/>
    <mergeCell ref="H2:M2"/>
    <mergeCell ref="N2:S2"/>
    <mergeCell ref="T2:X2"/>
    <mergeCell ref="Y2:AA2"/>
    <mergeCell ref="AB2:AD2"/>
  </mergeCells>
  <conditionalFormatting sqref="G4:G21">
    <cfRule type="cellIs" dxfId="37" priority="30" operator="greaterThan">
      <formula>2</formula>
    </cfRule>
    <cfRule type="cellIs" dxfId="36" priority="31" operator="between">
      <formula>1</formula>
      <formula>2</formula>
    </cfRule>
    <cfRule type="cellIs" dxfId="38" priority="32" operator="lessThan">
      <formula>1</formula>
    </cfRule>
  </conditionalFormatting>
  <conditionalFormatting sqref="M4:M21 S4:S21">
    <cfRule type="cellIs" dxfId="35" priority="27" operator="greaterThanOrEqual">
      <formula>2</formula>
    </cfRule>
    <cfRule type="cellIs" dxfId="34" priority="28" operator="between">
      <formula>1</formula>
      <formula>2</formula>
    </cfRule>
    <cfRule type="cellIs" dxfId="33" priority="29" operator="lessThan">
      <formula>1</formula>
    </cfRule>
  </conditionalFormatting>
  <conditionalFormatting sqref="X4:X20">
    <cfRule type="cellIs" dxfId="32" priority="7" operator="greaterThanOrEqual">
      <formula>2</formula>
    </cfRule>
    <cfRule type="cellIs" dxfId="31" priority="8" operator="between">
      <formula>1</formula>
      <formula>2</formula>
    </cfRule>
    <cfRule type="cellIs" dxfId="30" priority="9" operator="lessThan">
      <formula>1</formula>
    </cfRule>
  </conditionalFormatting>
  <conditionalFormatting sqref="AA4:AA21 X21">
    <cfRule type="cellIs" dxfId="29" priority="24" operator="greaterThan">
      <formula>1.25</formula>
    </cfRule>
    <cfRule type="cellIs" dxfId="28" priority="25" operator="between">
      <formula>0.75</formula>
      <formula>1.25</formula>
    </cfRule>
    <cfRule type="cellIs" dxfId="27" priority="26" operator="lessThan">
      <formula>0.75</formula>
    </cfRule>
  </conditionalFormatting>
  <conditionalFormatting sqref="AD4:AD21">
    <cfRule type="cellIs" dxfId="24" priority="16" operator="equal">
      <formula>1.5</formula>
    </cfRule>
    <cfRule type="cellIs" dxfId="26" priority="17" operator="greaterThan">
      <formula>1.5</formula>
    </cfRule>
    <cfRule type="cellIs" dxfId="25" priority="18" operator="lessThan">
      <formula>1.5</formula>
    </cfRule>
  </conditionalFormatting>
  <conditionalFormatting sqref="AG4:AG20">
    <cfRule type="cellIs" dxfId="23" priority="13" operator="greaterThan">
      <formula>0.5</formula>
    </cfRule>
    <cfRule type="cellIs" dxfId="22" priority="14" operator="between">
      <formula>0.4</formula>
      <formula>0.5</formula>
    </cfRule>
  </conditionalFormatting>
  <conditionalFormatting sqref="AG4:AG21">
    <cfRule type="cellIs" dxfId="21" priority="15" operator="lessThan">
      <formula>0.4</formula>
    </cfRule>
  </conditionalFormatting>
  <conditionalFormatting sqref="AG21">
    <cfRule type="cellIs" dxfId="20" priority="19" operator="greaterThan">
      <formula>50</formula>
    </cfRule>
    <cfRule type="cellIs" dxfId="19" priority="20" operator="between">
      <formula>0.4</formula>
      <formula>0.5</formula>
    </cfRule>
  </conditionalFormatting>
  <conditionalFormatting sqref="AH4:AH20">
    <cfRule type="cellIs" dxfId="17" priority="4" operator="lessThan">
      <formula>0.3</formula>
    </cfRule>
    <cfRule type="cellIs" dxfId="16" priority="5" operator="between">
      <formula>30</formula>
      <formula>35</formula>
    </cfRule>
    <cfRule type="cellIs" dxfId="15" priority="6" operator="greaterThan">
      <formula>0.35</formula>
    </cfRule>
  </conditionalFormatting>
  <conditionalFormatting sqref="AH21">
    <cfRule type="cellIs" dxfId="13" priority="21" operator="greaterThan">
      <formula>0.35</formula>
    </cfRule>
    <cfRule type="cellIs" dxfId="12" priority="22" operator="between">
      <formula>30</formula>
      <formula>35</formula>
    </cfRule>
    <cfRule type="cellIs" dxfId="11" priority="23" operator="lessThan">
      <formula>0.3</formula>
    </cfRule>
  </conditionalFormatting>
  <conditionalFormatting sqref="AI4:AI20">
    <cfRule type="cellIs" dxfId="10" priority="10" operator="equal">
      <formula>AJ4</formula>
    </cfRule>
    <cfRule type="cellIs" dxfId="9" priority="11" operator="lessThan">
      <formula>AJ4</formula>
    </cfRule>
    <cfRule type="cellIs" dxfId="8" priority="12" operator="greaterThan">
      <formula>AJ4</formula>
    </cfRule>
  </conditionalFormatting>
  <pageMargins left="0.7" right="0.7" top="0.78740157499999996" bottom="0.78740157499999996" header="0.3" footer="0.3"/>
  <pageSetup paperSize="9"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A5E771D7-E13A-486B-A65A-98C5453EFC0E}">
            <xm:f>NOT(ISERROR(SEARCH("-",B4)))</xm:f>
            <xm:f>"-"</xm:f>
            <x14:dxf>
              <font>
                <color theme="1"/>
              </font>
              <fill>
                <patternFill>
                  <bgColor theme="0"/>
                </patternFill>
              </fill>
            </x14:dxf>
          </x14:cfRule>
          <xm:sqref>B4:AJ20</xm:sqref>
        </x14:conditionalFormatting>
        <x14:conditionalFormatting xmlns:xm="http://schemas.microsoft.com/office/excel/2006/main">
          <x14:cfRule type="containsText" priority="2" operator="containsText" id="{36BC2186-B849-4273-8995-1081B16510F8}">
            <xm:f>NOT(ISERROR(SEARCH("-",AG4)))</xm:f>
            <xm:f>"-"</xm:f>
            <x14:dxf>
              <font>
                <color theme="1"/>
              </font>
              <fill>
                <patternFill>
                  <bgColor theme="0" tint="-0.24994659260841701"/>
                </patternFill>
              </fill>
            </x14:dxf>
          </x14:cfRule>
          <xm:sqref>AG4:AJ20</xm:sqref>
        </x14:conditionalFormatting>
        <x14:conditionalFormatting xmlns:xm="http://schemas.microsoft.com/office/excel/2006/main">
          <x14:cfRule type="containsText" priority="3" operator="containsText" id="{90B0414B-8A95-45A6-8FF4-BD26D5DC9E43}">
            <xm:f>NOT(ISERROR(SEARCH("-",AH11)))</xm:f>
            <xm:f>"-"</xm:f>
            <x14:dxf>
              <font>
                <color theme="1"/>
              </font>
              <fill>
                <patternFill>
                  <bgColor theme="0" tint="-0.24994659260841701"/>
                </patternFill>
              </fill>
            </x14:dxf>
          </x14:cfRule>
          <xm:sqref>AH11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Fynn Pflüger</dc:creator>
  <cp:lastModifiedBy>Fynn Pflüger</cp:lastModifiedBy>
  <dcterms:created xsi:type="dcterms:W3CDTF">2026-01-09T22:27:48Z</dcterms:created>
  <dcterms:modified xsi:type="dcterms:W3CDTF">2026-01-09T22:28:53Z</dcterms:modified>
</cp:coreProperties>
</file>